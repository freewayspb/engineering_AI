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nis\Desktop\ТДК\Чистый Лист\Матрица\ДокиПримеры\"/>
    </mc:Choice>
  </mc:AlternateContent>
  <xr:revisionPtr revIDLastSave="0" documentId="13_ncr:1_{4B6CF2BF-DCEF-466E-A28C-28512C4A8C4F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Лист1" sheetId="1" r:id="rId1"/>
  </sheets>
  <definedNames>
    <definedName name="_xlnm._FilterDatabase" localSheetId="0" hidden="1">Лист1!$A$2:$T$38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8" i="1" l="1"/>
  <c r="S37" i="1"/>
  <c r="S36" i="1"/>
  <c r="S33" i="1"/>
  <c r="S32" i="1"/>
  <c r="S31" i="1"/>
  <c r="S30" i="1"/>
  <c r="S29" i="1"/>
  <c r="S28" i="1"/>
  <c r="S26" i="1"/>
  <c r="S24" i="1"/>
  <c r="S23" i="1"/>
  <c r="S22" i="1"/>
  <c r="S21" i="1"/>
  <c r="S20" i="1"/>
  <c r="S19" i="1"/>
  <c r="S4" i="1"/>
  <c r="S3" i="1"/>
  <c r="Q17" i="1"/>
  <c r="Q16" i="1"/>
  <c r="Q15" i="1"/>
  <c r="S15" i="1" s="1"/>
  <c r="Q14" i="1"/>
  <c r="S14" i="1" s="1"/>
  <c r="Q13" i="1"/>
  <c r="S13" i="1" s="1"/>
  <c r="Q11" i="1"/>
  <c r="Q10" i="1"/>
  <c r="Q9" i="1"/>
  <c r="S9" i="1" s="1"/>
  <c r="Q8" i="1"/>
  <c r="S8" i="1" s="1"/>
  <c r="Q7" i="1"/>
  <c r="S7" i="1" s="1"/>
</calcChain>
</file>

<file path=xl/sharedStrings.xml><?xml version="1.0" encoding="utf-8"?>
<sst xmlns="http://schemas.openxmlformats.org/spreadsheetml/2006/main" count="410" uniqueCount="105">
  <si>
    <t>Поз.</t>
  </si>
  <si>
    <t xml:space="preserve"> Наименование и техническая характеристика</t>
  </si>
  <si>
    <t>Тип, марка,
обозначение документа,
опросного листа</t>
  </si>
  <si>
    <t>Код продукции</t>
  </si>
  <si>
    <t>Ед. изм.</t>
  </si>
  <si>
    <t>кол-во</t>
  </si>
  <si>
    <t>Масса 1 ед.,
кг</t>
  </si>
  <si>
    <t>Примечание</t>
  </si>
  <si>
    <t>411307-ТМП-104</t>
  </si>
  <si>
    <t>411307-ТМП-11.0.00</t>
  </si>
  <si>
    <t>411307-ТМП-02.0.00</t>
  </si>
  <si>
    <t>ОСТ 32.171-2001</t>
  </si>
  <si>
    <t>411307-ТМП-105</t>
  </si>
  <si>
    <t>411307-ТМП-11.0.00-01</t>
  </si>
  <si>
    <t>411307-ТМП-201</t>
  </si>
  <si>
    <t>411307-ТМП-19.0.00</t>
  </si>
  <si>
    <t>411307-ТМП-25.0.00</t>
  </si>
  <si>
    <t>411307-ТМП-26.0.01</t>
  </si>
  <si>
    <t>411307-ТМП-153</t>
  </si>
  <si>
    <t>411307-ТМП-00.0.02</t>
  </si>
  <si>
    <t>411307-ТМП-100.0.01</t>
  </si>
  <si>
    <t>411307-ТМП-104.0.00-02</t>
  </si>
  <si>
    <t>ГОСТ ISO 4032-2014</t>
  </si>
  <si>
    <t>ГОСТ 11371-78</t>
  </si>
  <si>
    <t>411307-ТМП-215</t>
  </si>
  <si>
    <t>ТУ 3449-041-27560230-98</t>
  </si>
  <si>
    <t>К-ТВР-32/9-14,5/1</t>
  </si>
  <si>
    <t>шт.</t>
  </si>
  <si>
    <t>м</t>
  </si>
  <si>
    <t>компл.</t>
  </si>
  <si>
    <t>или эквивалент</t>
  </si>
  <si>
    <t>Титул</t>
  </si>
  <si>
    <t>Шифр</t>
  </si>
  <si>
    <t>«Организация пригородно-городского пассажирского железнодорожного движения на участке Апрелевка - Железнодорожная»  Этап XXII «Строительство тяговой подстанции Беговая»</t>
  </si>
  <si>
    <t>989-СС2.СО1</t>
  </si>
  <si>
    <t>Раздел</t>
  </si>
  <si>
    <t>Сети связи ВОЛС</t>
  </si>
  <si>
    <t>№изм.</t>
  </si>
  <si>
    <t>Дата</t>
  </si>
  <si>
    <t>изм.0</t>
  </si>
  <si>
    <t>Наименование проектного иститута</t>
  </si>
  <si>
    <t>ООО "ЭТКПроект"</t>
  </si>
  <si>
    <t>Р</t>
  </si>
  <si>
    <t>Стадии проектирования</t>
  </si>
  <si>
    <t>Номер листа</t>
  </si>
  <si>
    <t>№</t>
  </si>
  <si>
    <t>1.1.</t>
  </si>
  <si>
    <t>2.1.</t>
  </si>
  <si>
    <t>2.2.</t>
  </si>
  <si>
    <t>2.3.</t>
  </si>
  <si>
    <t>2.4.</t>
  </si>
  <si>
    <t>2.5.</t>
  </si>
  <si>
    <t>2.6.</t>
  </si>
  <si>
    <t>2.7.</t>
  </si>
  <si>
    <t>Вид</t>
  </si>
  <si>
    <t>Оборудование</t>
  </si>
  <si>
    <t>Материалы</t>
  </si>
  <si>
    <t>Маркер шаровой пассивный для телефонных линий связи (оранжевый)</t>
  </si>
  <si>
    <t xml:space="preserve">ССД 121001-00084 </t>
  </si>
  <si>
    <t xml:space="preserve"> Scotchmark 1401-XR</t>
  </si>
  <si>
    <t>ТУ 3587-002-45869304-98</t>
  </si>
  <si>
    <t>Кабель оптический</t>
  </si>
  <si>
    <t xml:space="preserve">ОКМС-А-4/2(2,4)Сп-12(2)/4(5) "8 кН"
</t>
  </si>
  <si>
    <t>Панель оптическая распределительная стационарная 1U на 16 портов, SM, FC/UPC</t>
  </si>
  <si>
    <t>КОПТ-16Ф</t>
  </si>
  <si>
    <t>ТСВР.469431.018</t>
  </si>
  <si>
    <t xml:space="preserve">Узел подвески двух ВОК на железобетонных опорах КС, на кронштейне с кольцами, в составе: </t>
  </si>
  <si>
    <t>КС-066-1</t>
  </si>
  <si>
    <t>ТУ 5264331-728-013393674-99</t>
  </si>
  <si>
    <t>ПСО-12,6/14,2П-13</t>
  </si>
  <si>
    <t>ТУ 3449-022-27560230-10</t>
  </si>
  <si>
    <t>Узел подвески двух ВОК на железобетонных опорах КС, на удлиненном кронштейне с кольцами, в составе:</t>
  </si>
  <si>
    <t xml:space="preserve">ТУ 5264331-728-013393674-99 </t>
  </si>
  <si>
    <t xml:space="preserve">ТУ 3449-022-27560230-10 </t>
  </si>
  <si>
    <t>Узел анкеровки ВОК на железобетонной опоре КС, в составе:</t>
  </si>
  <si>
    <t>НСО-13,6/14,7П-01(30)</t>
  </si>
  <si>
    <t xml:space="preserve">Узел подвески двух ВОК на металлических опорах типа МП на 
кронштейне с кольцами, в составе: </t>
  </si>
  <si>
    <t>М16-5</t>
  </si>
  <si>
    <t>16.01Ст3сп.019</t>
  </si>
  <si>
    <t>L, мм</t>
  </si>
  <si>
    <t>KTS 16</t>
  </si>
  <si>
    <t xml:space="preserve">Узел спуска одного ВОК в защитной трубе по железобетонным опорам и металлическим опорам гибких поперечин </t>
  </si>
  <si>
    <t>ДКС 63532UF</t>
  </si>
  <si>
    <t>ДКС 50132</t>
  </si>
  <si>
    <t>Кронштейн с двумя кольцами</t>
  </si>
  <si>
    <t>Хомут</t>
  </si>
  <si>
    <t xml:space="preserve">Зажим плашечный заземляющего провода </t>
  </si>
  <si>
    <t>Прокладка изолирующая под хомуты</t>
  </si>
  <si>
    <t>Зажим поддерживающий спиральный для кабеля диаметром 13,6 мм</t>
  </si>
  <si>
    <t>Зажим плашечный заземляющего провода</t>
  </si>
  <si>
    <t>Кронштейн анкерный</t>
  </si>
  <si>
    <t>Скоба анкеровочная малая</t>
  </si>
  <si>
    <t>Планка</t>
  </si>
  <si>
    <t>Зажим натяжной спиральный для кабеля диаметром 13,6 мм в комплекте 
с протектором и коушем К-70</t>
  </si>
  <si>
    <t>Шайба</t>
  </si>
  <si>
    <t>Уголок</t>
  </si>
  <si>
    <t>Кронштейн с двумя кольцами для металлических опор типа М и МП</t>
  </si>
  <si>
    <t>Гайка</t>
  </si>
  <si>
    <t>Стержень резьбовой</t>
  </si>
  <si>
    <t>Хомут ленточный</t>
  </si>
  <si>
    <t>d=32 мм</t>
  </si>
  <si>
    <t>Труба ПВХ жёсткая</t>
  </si>
  <si>
    <t>Муфта труба-труба, IP67</t>
  </si>
  <si>
    <t>Ввод кабельный распорный, d=32 мм</t>
  </si>
  <si>
    <t>Масса ИТОГО,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</si>
</sst>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4" fontId="1" fillId="0" borderId="1" xfId="0" applyNumberFormat="1" applyFont="1" applyBorder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4" fontId="1" fillId="2" borderId="2" xfId="0" applyNumberFormat="1" applyFont="1" applyFill="1" applyBorder="1" applyAlignment="1">
      <alignment horizontal="center" vertical="center"/>
    </xf>
    <xf numFmtId="4" fontId="1" fillId="2" borderId="2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vertical="center"/>
    </xf>
    <xf numFmtId="3" fontId="1" fillId="0" borderId="1" xfId="0" applyNumberFormat="1" applyFont="1" applyBorder="1" applyAlignment="1">
      <alignment horizontal="center" vertical="center"/>
    </xf>
    <xf numFmtId="4" fontId="1" fillId="0" borderId="2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" fontId="1" fillId="0" borderId="2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"/>
  <sheetViews>
    <sheetView tabSelected="1" zoomScale="160" zoomScaleNormal="160" workbookViewId="0">
      <pane xSplit="1" ySplit="2" topLeftCell="M3" activePane="bottomRight" state="frozen"/>
      <selection pane="topRight" activeCell="B1" sqref="B1"/>
      <selection pane="bottomLeft" activeCell="A3" sqref="A3"/>
      <selection pane="bottomRight" activeCell="W13" sqref="W13"/>
    </sheetView>
  </sheetViews>
  <sheetFormatPr defaultRowHeight="15" x14ac:dyDescent="0.25"/>
  <cols>
    <col min="1" max="1" width="18.7109375" style="1" bestFit="1" customWidth="1"/>
    <col min="2" max="2" width="10.5703125" style="1" customWidth="1"/>
    <col min="3" max="6" width="9.140625" style="1"/>
    <col min="7" max="8" width="10.140625" style="1" bestFit="1" customWidth="1"/>
    <col min="9" max="9" width="17.85546875" style="1" customWidth="1"/>
    <col min="10" max="10" width="5" style="1" bestFit="1" customWidth="1"/>
    <col min="11" max="11" width="4.140625" style="2" bestFit="1" customWidth="1"/>
    <col min="12" max="12" width="69" style="1" bestFit="1" customWidth="1"/>
    <col min="13" max="13" width="9" style="7" bestFit="1" customWidth="1"/>
    <col min="14" max="14" width="42.85546875" style="1" bestFit="1" customWidth="1"/>
    <col min="15" max="15" width="29" style="1" customWidth="1"/>
    <col min="16" max="16" width="9.140625" style="2"/>
    <col min="17" max="17" width="9.140625" style="7"/>
    <col min="18" max="19" width="12.85546875" style="7" customWidth="1"/>
    <col min="20" max="20" width="20.7109375" style="1" customWidth="1"/>
    <col min="21" max="16384" width="9.140625" style="1"/>
  </cols>
  <sheetData>
    <row r="1" spans="1:20" s="2" customFormat="1" ht="45" x14ac:dyDescent="0.25">
      <c r="A1" s="10" t="s">
        <v>40</v>
      </c>
      <c r="B1" s="10" t="s">
        <v>43</v>
      </c>
      <c r="C1" s="2" t="s">
        <v>31</v>
      </c>
      <c r="D1" s="2" t="s">
        <v>32</v>
      </c>
      <c r="E1" s="2" t="s">
        <v>37</v>
      </c>
      <c r="F1" s="2" t="s">
        <v>35</v>
      </c>
      <c r="G1" s="2" t="s">
        <v>38</v>
      </c>
      <c r="H1" s="10" t="s">
        <v>44</v>
      </c>
      <c r="I1" s="10" t="s">
        <v>54</v>
      </c>
      <c r="J1" s="11" t="s">
        <v>0</v>
      </c>
      <c r="K1" s="12" t="s">
        <v>45</v>
      </c>
      <c r="L1" s="11" t="s">
        <v>1</v>
      </c>
      <c r="M1" s="18" t="s">
        <v>79</v>
      </c>
      <c r="N1" s="13" t="s">
        <v>2</v>
      </c>
      <c r="O1" s="11" t="s">
        <v>3</v>
      </c>
      <c r="P1" s="11" t="s">
        <v>4</v>
      </c>
      <c r="Q1" s="14" t="s">
        <v>5</v>
      </c>
      <c r="R1" s="15" t="s">
        <v>6</v>
      </c>
      <c r="S1" s="20" t="s">
        <v>104</v>
      </c>
      <c r="T1" s="11" t="s">
        <v>7</v>
      </c>
    </row>
    <row r="2" spans="1:20" s="2" customForma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6"/>
      <c r="N2" s="3"/>
      <c r="O2" s="3"/>
      <c r="P2" s="3"/>
      <c r="Q2" s="6"/>
      <c r="R2" s="6"/>
      <c r="S2" s="6"/>
      <c r="T2" s="3"/>
    </row>
    <row r="3" spans="1:20" x14ac:dyDescent="0.25">
      <c r="A3" s="3" t="s">
        <v>41</v>
      </c>
      <c r="B3" s="3" t="s">
        <v>42</v>
      </c>
      <c r="C3" s="4" t="s">
        <v>33</v>
      </c>
      <c r="D3" s="4" t="s">
        <v>34</v>
      </c>
      <c r="E3" s="4" t="s">
        <v>39</v>
      </c>
      <c r="F3" s="4" t="s">
        <v>36</v>
      </c>
      <c r="G3" s="16">
        <v>45362</v>
      </c>
      <c r="H3" s="17">
        <v>1</v>
      </c>
      <c r="I3" s="17" t="s">
        <v>55</v>
      </c>
      <c r="J3" s="4"/>
      <c r="K3" s="3" t="s">
        <v>46</v>
      </c>
      <c r="L3" s="4" t="s">
        <v>57</v>
      </c>
      <c r="M3" s="6"/>
      <c r="N3" s="4" t="s">
        <v>59</v>
      </c>
      <c r="O3" s="4" t="s">
        <v>58</v>
      </c>
      <c r="P3" s="3" t="s">
        <v>27</v>
      </c>
      <c r="Q3" s="6">
        <v>5</v>
      </c>
      <c r="R3" s="6">
        <v>0.37</v>
      </c>
      <c r="S3" s="6">
        <f>Q3*R3</f>
        <v>1.85</v>
      </c>
      <c r="T3" s="4" t="s">
        <v>30</v>
      </c>
    </row>
    <row r="4" spans="1:20" x14ac:dyDescent="0.25">
      <c r="A4" s="3" t="s">
        <v>41</v>
      </c>
      <c r="B4" s="3" t="s">
        <v>42</v>
      </c>
      <c r="C4" s="4" t="s">
        <v>33</v>
      </c>
      <c r="D4" s="4" t="s">
        <v>34</v>
      </c>
      <c r="E4" s="4" t="s">
        <v>39</v>
      </c>
      <c r="F4" s="4" t="s">
        <v>36</v>
      </c>
      <c r="G4" s="16">
        <v>45362</v>
      </c>
      <c r="H4" s="17">
        <v>1</v>
      </c>
      <c r="I4" s="17" t="s">
        <v>56</v>
      </c>
      <c r="J4" s="4"/>
      <c r="K4" s="3" t="s">
        <v>47</v>
      </c>
      <c r="L4" s="5" t="s">
        <v>61</v>
      </c>
      <c r="M4" s="8"/>
      <c r="N4" s="4" t="s">
        <v>62</v>
      </c>
      <c r="O4" s="4" t="s">
        <v>60</v>
      </c>
      <c r="P4" s="3" t="s">
        <v>28</v>
      </c>
      <c r="Q4" s="6">
        <v>4428</v>
      </c>
      <c r="R4" s="6">
        <v>0.15</v>
      </c>
      <c r="S4" s="6">
        <f>Q4*R4</f>
        <v>664.19999999999993</v>
      </c>
      <c r="T4" s="4" t="s">
        <v>30</v>
      </c>
    </row>
    <row r="5" spans="1:20" x14ac:dyDescent="0.25">
      <c r="A5" s="3" t="s">
        <v>41</v>
      </c>
      <c r="B5" s="3" t="s">
        <v>42</v>
      </c>
      <c r="C5" s="4" t="s">
        <v>33</v>
      </c>
      <c r="D5" s="4" t="s">
        <v>34</v>
      </c>
      <c r="E5" s="4" t="s">
        <v>39</v>
      </c>
      <c r="F5" s="4" t="s">
        <v>36</v>
      </c>
      <c r="G5" s="16">
        <v>45362</v>
      </c>
      <c r="H5" s="17">
        <v>1</v>
      </c>
      <c r="I5" s="17" t="s">
        <v>56</v>
      </c>
      <c r="J5" s="4"/>
      <c r="K5" s="3" t="s">
        <v>48</v>
      </c>
      <c r="L5" s="4" t="s">
        <v>63</v>
      </c>
      <c r="M5" s="6"/>
      <c r="N5" s="5" t="s">
        <v>64</v>
      </c>
      <c r="O5" s="4" t="s">
        <v>65</v>
      </c>
      <c r="P5" s="3" t="s">
        <v>27</v>
      </c>
      <c r="Q5" s="6">
        <v>2</v>
      </c>
      <c r="R5" s="6"/>
      <c r="S5" s="6"/>
      <c r="T5" s="4" t="s">
        <v>30</v>
      </c>
    </row>
    <row r="6" spans="1:20" x14ac:dyDescent="0.25">
      <c r="A6" s="3" t="s">
        <v>41</v>
      </c>
      <c r="B6" s="3" t="s">
        <v>42</v>
      </c>
      <c r="C6" s="4" t="s">
        <v>33</v>
      </c>
      <c r="D6" s="4" t="s">
        <v>34</v>
      </c>
      <c r="E6" s="4" t="s">
        <v>39</v>
      </c>
      <c r="F6" s="4" t="s">
        <v>36</v>
      </c>
      <c r="G6" s="16">
        <v>45362</v>
      </c>
      <c r="H6" s="17">
        <v>1</v>
      </c>
      <c r="I6" s="17" t="s">
        <v>56</v>
      </c>
      <c r="J6" s="4">
        <v>104</v>
      </c>
      <c r="K6" s="3" t="s">
        <v>49</v>
      </c>
      <c r="L6" s="4" t="s">
        <v>66</v>
      </c>
      <c r="M6" s="6"/>
      <c r="N6" s="4" t="s">
        <v>8</v>
      </c>
      <c r="O6" s="4"/>
      <c r="P6" s="3" t="s">
        <v>29</v>
      </c>
      <c r="Q6" s="6">
        <v>6</v>
      </c>
      <c r="R6" s="6"/>
      <c r="S6" s="6"/>
      <c r="T6" s="4" t="s">
        <v>30</v>
      </c>
    </row>
    <row r="7" spans="1:20" x14ac:dyDescent="0.25">
      <c r="A7" s="3" t="s">
        <v>41</v>
      </c>
      <c r="B7" s="3" t="s">
        <v>42</v>
      </c>
      <c r="C7" s="4" t="s">
        <v>33</v>
      </c>
      <c r="D7" s="4" t="s">
        <v>34</v>
      </c>
      <c r="E7" s="4" t="s">
        <v>39</v>
      </c>
      <c r="F7" s="4" t="s">
        <v>36</v>
      </c>
      <c r="G7" s="16">
        <v>45362</v>
      </c>
      <c r="H7" s="17">
        <v>1</v>
      </c>
      <c r="I7" s="17" t="s">
        <v>56</v>
      </c>
      <c r="J7" s="4"/>
      <c r="K7" s="3"/>
      <c r="L7" s="4" t="s">
        <v>84</v>
      </c>
      <c r="M7" s="6"/>
      <c r="N7" s="4" t="s">
        <v>9</v>
      </c>
      <c r="O7" s="4"/>
      <c r="P7" s="3" t="s">
        <v>27</v>
      </c>
      <c r="Q7" s="6">
        <f>1*Q6</f>
        <v>6</v>
      </c>
      <c r="R7" s="6">
        <v>6.15</v>
      </c>
      <c r="S7" s="6">
        <f t="shared" ref="S7:S9" si="0">Q7*R7</f>
        <v>36.900000000000006</v>
      </c>
      <c r="T7" s="4"/>
    </row>
    <row r="8" spans="1:20" x14ac:dyDescent="0.25">
      <c r="A8" s="3" t="s">
        <v>41</v>
      </c>
      <c r="B8" s="3" t="s">
        <v>42</v>
      </c>
      <c r="C8" s="4" t="s">
        <v>33</v>
      </c>
      <c r="D8" s="4" t="s">
        <v>34</v>
      </c>
      <c r="E8" s="4" t="s">
        <v>39</v>
      </c>
      <c r="F8" s="4" t="s">
        <v>36</v>
      </c>
      <c r="G8" s="16">
        <v>45362</v>
      </c>
      <c r="H8" s="17">
        <v>1</v>
      </c>
      <c r="I8" s="17" t="s">
        <v>56</v>
      </c>
      <c r="J8" s="4"/>
      <c r="K8" s="3"/>
      <c r="L8" s="4" t="s">
        <v>85</v>
      </c>
      <c r="M8" s="6"/>
      <c r="N8" s="4" t="s">
        <v>10</v>
      </c>
      <c r="O8" s="4"/>
      <c r="P8" s="3" t="s">
        <v>27</v>
      </c>
      <c r="Q8" s="6">
        <f>1*Q6</f>
        <v>6</v>
      </c>
      <c r="R8" s="6">
        <v>2.1</v>
      </c>
      <c r="S8" s="6">
        <f t="shared" si="0"/>
        <v>12.600000000000001</v>
      </c>
      <c r="T8" s="4"/>
    </row>
    <row r="9" spans="1:20" x14ac:dyDescent="0.25">
      <c r="A9" s="3" t="s">
        <v>41</v>
      </c>
      <c r="B9" s="3" t="s">
        <v>42</v>
      </c>
      <c r="C9" s="4" t="s">
        <v>33</v>
      </c>
      <c r="D9" s="4" t="s">
        <v>34</v>
      </c>
      <c r="E9" s="4" t="s">
        <v>39</v>
      </c>
      <c r="F9" s="4" t="s">
        <v>36</v>
      </c>
      <c r="G9" s="16">
        <v>45362</v>
      </c>
      <c r="H9" s="17">
        <v>1</v>
      </c>
      <c r="I9" s="17" t="s">
        <v>56</v>
      </c>
      <c r="J9" s="4"/>
      <c r="K9" s="3"/>
      <c r="L9" s="4" t="s">
        <v>86</v>
      </c>
      <c r="M9" s="6"/>
      <c r="N9" s="4" t="s">
        <v>67</v>
      </c>
      <c r="O9" s="4" t="s">
        <v>68</v>
      </c>
      <c r="P9" s="3" t="s">
        <v>27</v>
      </c>
      <c r="Q9" s="6">
        <f>1*Q6</f>
        <v>6</v>
      </c>
      <c r="R9" s="6">
        <v>0.22</v>
      </c>
      <c r="S9" s="6">
        <f t="shared" si="0"/>
        <v>1.32</v>
      </c>
      <c r="T9" s="4"/>
    </row>
    <row r="10" spans="1:20" x14ac:dyDescent="0.25">
      <c r="A10" s="3" t="s">
        <v>41</v>
      </c>
      <c r="B10" s="3" t="s">
        <v>42</v>
      </c>
      <c r="C10" s="4" t="s">
        <v>33</v>
      </c>
      <c r="D10" s="4" t="s">
        <v>34</v>
      </c>
      <c r="E10" s="4" t="s">
        <v>39</v>
      </c>
      <c r="F10" s="4" t="s">
        <v>36</v>
      </c>
      <c r="G10" s="16">
        <v>45362</v>
      </c>
      <c r="H10" s="17">
        <v>1</v>
      </c>
      <c r="I10" s="17" t="s">
        <v>56</v>
      </c>
      <c r="J10" s="4"/>
      <c r="K10" s="3"/>
      <c r="L10" s="4" t="s">
        <v>87</v>
      </c>
      <c r="M10" s="6"/>
      <c r="N10" s="4" t="s">
        <v>11</v>
      </c>
      <c r="O10" s="4"/>
      <c r="P10" s="3" t="s">
        <v>27</v>
      </c>
      <c r="Q10" s="6">
        <f>1*Q6</f>
        <v>6</v>
      </c>
      <c r="R10" s="6"/>
      <c r="S10" s="6"/>
      <c r="T10" s="4"/>
    </row>
    <row r="11" spans="1:20" x14ac:dyDescent="0.25">
      <c r="A11" s="3" t="s">
        <v>41</v>
      </c>
      <c r="B11" s="3" t="s">
        <v>42</v>
      </c>
      <c r="C11" s="4" t="s">
        <v>33</v>
      </c>
      <c r="D11" s="4" t="s">
        <v>34</v>
      </c>
      <c r="E11" s="4" t="s">
        <v>39</v>
      </c>
      <c r="F11" s="4" t="s">
        <v>36</v>
      </c>
      <c r="G11" s="16">
        <v>45362</v>
      </c>
      <c r="H11" s="17">
        <v>1</v>
      </c>
      <c r="I11" s="17" t="s">
        <v>56</v>
      </c>
      <c r="J11" s="4"/>
      <c r="K11" s="3"/>
      <c r="L11" s="4" t="s">
        <v>88</v>
      </c>
      <c r="M11" s="6"/>
      <c r="N11" s="4" t="s">
        <v>69</v>
      </c>
      <c r="O11" s="4" t="s">
        <v>70</v>
      </c>
      <c r="P11" s="3" t="s">
        <v>27</v>
      </c>
      <c r="Q11" s="6">
        <f>1*Q6</f>
        <v>6</v>
      </c>
      <c r="R11" s="6"/>
      <c r="S11" s="6"/>
      <c r="T11" s="4"/>
    </row>
    <row r="12" spans="1:20" x14ac:dyDescent="0.25">
      <c r="A12" s="3" t="s">
        <v>41</v>
      </c>
      <c r="B12" s="3" t="s">
        <v>42</v>
      </c>
      <c r="C12" s="4" t="s">
        <v>33</v>
      </c>
      <c r="D12" s="4" t="s">
        <v>34</v>
      </c>
      <c r="E12" s="4" t="s">
        <v>39</v>
      </c>
      <c r="F12" s="4" t="s">
        <v>36</v>
      </c>
      <c r="G12" s="16">
        <v>45362</v>
      </c>
      <c r="H12" s="17">
        <v>2</v>
      </c>
      <c r="I12" s="17" t="s">
        <v>56</v>
      </c>
      <c r="J12" s="4">
        <v>105</v>
      </c>
      <c r="K12" s="3" t="s">
        <v>50</v>
      </c>
      <c r="L12" s="4" t="s">
        <v>71</v>
      </c>
      <c r="M12" s="6"/>
      <c r="N12" s="4" t="s">
        <v>12</v>
      </c>
      <c r="O12" s="4"/>
      <c r="P12" s="3" t="s">
        <v>29</v>
      </c>
      <c r="Q12" s="6">
        <v>1</v>
      </c>
      <c r="R12" s="6"/>
      <c r="S12" s="6"/>
      <c r="T12" s="4" t="s">
        <v>30</v>
      </c>
    </row>
    <row r="13" spans="1:20" x14ac:dyDescent="0.25">
      <c r="A13" s="3" t="s">
        <v>41</v>
      </c>
      <c r="B13" s="3" t="s">
        <v>42</v>
      </c>
      <c r="C13" s="4" t="s">
        <v>33</v>
      </c>
      <c r="D13" s="4" t="s">
        <v>34</v>
      </c>
      <c r="E13" s="4" t="s">
        <v>39</v>
      </c>
      <c r="F13" s="4" t="s">
        <v>36</v>
      </c>
      <c r="G13" s="16">
        <v>45362</v>
      </c>
      <c r="H13" s="17">
        <v>2</v>
      </c>
      <c r="I13" s="17" t="s">
        <v>56</v>
      </c>
      <c r="J13" s="4"/>
      <c r="K13" s="3"/>
      <c r="L13" s="4" t="s">
        <v>84</v>
      </c>
      <c r="M13" s="6"/>
      <c r="N13" s="4" t="s">
        <v>13</v>
      </c>
      <c r="O13" s="4"/>
      <c r="P13" s="3" t="s">
        <v>27</v>
      </c>
      <c r="Q13" s="6">
        <f>1*Q12</f>
        <v>1</v>
      </c>
      <c r="R13" s="6">
        <v>7.6</v>
      </c>
      <c r="S13" s="6">
        <f t="shared" ref="S13:S15" si="1">Q13*R13</f>
        <v>7.6</v>
      </c>
      <c r="T13" s="4"/>
    </row>
    <row r="14" spans="1:20" x14ac:dyDescent="0.25">
      <c r="A14" s="3" t="s">
        <v>41</v>
      </c>
      <c r="B14" s="3" t="s">
        <v>42</v>
      </c>
      <c r="C14" s="4" t="s">
        <v>33</v>
      </c>
      <c r="D14" s="4" t="s">
        <v>34</v>
      </c>
      <c r="E14" s="4" t="s">
        <v>39</v>
      </c>
      <c r="F14" s="4" t="s">
        <v>36</v>
      </c>
      <c r="G14" s="16">
        <v>45362</v>
      </c>
      <c r="H14" s="17">
        <v>2</v>
      </c>
      <c r="I14" s="17" t="s">
        <v>56</v>
      </c>
      <c r="J14" s="4"/>
      <c r="K14" s="3"/>
      <c r="L14" s="4" t="s">
        <v>85</v>
      </c>
      <c r="M14" s="6"/>
      <c r="N14" s="4" t="s">
        <v>10</v>
      </c>
      <c r="O14" s="4"/>
      <c r="P14" s="3" t="s">
        <v>27</v>
      </c>
      <c r="Q14" s="6">
        <f>1*Q12</f>
        <v>1</v>
      </c>
      <c r="R14" s="6">
        <v>2.1</v>
      </c>
      <c r="S14" s="6">
        <f t="shared" si="1"/>
        <v>2.1</v>
      </c>
      <c r="T14" s="4"/>
    </row>
    <row r="15" spans="1:20" x14ac:dyDescent="0.25">
      <c r="A15" s="3" t="s">
        <v>41</v>
      </c>
      <c r="B15" s="3" t="s">
        <v>42</v>
      </c>
      <c r="C15" s="4" t="s">
        <v>33</v>
      </c>
      <c r="D15" s="4" t="s">
        <v>34</v>
      </c>
      <c r="E15" s="4" t="s">
        <v>39</v>
      </c>
      <c r="F15" s="4" t="s">
        <v>36</v>
      </c>
      <c r="G15" s="16">
        <v>45362</v>
      </c>
      <c r="H15" s="17">
        <v>2</v>
      </c>
      <c r="I15" s="17" t="s">
        <v>56</v>
      </c>
      <c r="J15" s="4"/>
      <c r="K15" s="3"/>
      <c r="L15" s="4" t="s">
        <v>89</v>
      </c>
      <c r="M15" s="6"/>
      <c r="N15" s="4" t="s">
        <v>67</v>
      </c>
      <c r="O15" s="4" t="s">
        <v>72</v>
      </c>
      <c r="P15" s="3" t="s">
        <v>27</v>
      </c>
      <c r="Q15" s="6">
        <f>1*Q12</f>
        <v>1</v>
      </c>
      <c r="R15" s="6">
        <v>0.22</v>
      </c>
      <c r="S15" s="6">
        <f t="shared" si="1"/>
        <v>0.22</v>
      </c>
      <c r="T15" s="4"/>
    </row>
    <row r="16" spans="1:20" x14ac:dyDescent="0.25">
      <c r="A16" s="3" t="s">
        <v>41</v>
      </c>
      <c r="B16" s="3" t="s">
        <v>42</v>
      </c>
      <c r="C16" s="4" t="s">
        <v>33</v>
      </c>
      <c r="D16" s="4" t="s">
        <v>34</v>
      </c>
      <c r="E16" s="4" t="s">
        <v>39</v>
      </c>
      <c r="F16" s="4" t="s">
        <v>36</v>
      </c>
      <c r="G16" s="16">
        <v>45362</v>
      </c>
      <c r="H16" s="17">
        <v>2</v>
      </c>
      <c r="I16" s="17" t="s">
        <v>56</v>
      </c>
      <c r="J16" s="4"/>
      <c r="K16" s="3"/>
      <c r="L16" s="4" t="s">
        <v>87</v>
      </c>
      <c r="M16" s="6"/>
      <c r="N16" s="4" t="s">
        <v>11</v>
      </c>
      <c r="O16" s="4"/>
      <c r="P16" s="3" t="s">
        <v>27</v>
      </c>
      <c r="Q16" s="6">
        <f>1*Q12</f>
        <v>1</v>
      </c>
      <c r="R16" s="6"/>
      <c r="S16" s="6"/>
      <c r="T16" s="4"/>
    </row>
    <row r="17" spans="1:20" x14ac:dyDescent="0.25">
      <c r="A17" s="3" t="s">
        <v>41</v>
      </c>
      <c r="B17" s="3" t="s">
        <v>42</v>
      </c>
      <c r="C17" s="4" t="s">
        <v>33</v>
      </c>
      <c r="D17" s="4" t="s">
        <v>34</v>
      </c>
      <c r="E17" s="4" t="s">
        <v>39</v>
      </c>
      <c r="F17" s="4" t="s">
        <v>36</v>
      </c>
      <c r="G17" s="16">
        <v>45362</v>
      </c>
      <c r="H17" s="17">
        <v>2</v>
      </c>
      <c r="I17" s="17" t="s">
        <v>56</v>
      </c>
      <c r="J17" s="4"/>
      <c r="K17" s="3"/>
      <c r="L17" s="4" t="s">
        <v>88</v>
      </c>
      <c r="M17" s="6"/>
      <c r="N17" s="4" t="s">
        <v>69</v>
      </c>
      <c r="O17" s="4" t="s">
        <v>73</v>
      </c>
      <c r="P17" s="3" t="s">
        <v>27</v>
      </c>
      <c r="Q17" s="6">
        <f>1*Q12</f>
        <v>1</v>
      </c>
      <c r="R17" s="6"/>
      <c r="S17" s="6"/>
      <c r="T17" s="4"/>
    </row>
    <row r="18" spans="1:20" x14ac:dyDescent="0.25">
      <c r="A18" s="3" t="s">
        <v>41</v>
      </c>
      <c r="B18" s="3" t="s">
        <v>42</v>
      </c>
      <c r="C18" s="4" t="s">
        <v>33</v>
      </c>
      <c r="D18" s="4" t="s">
        <v>34</v>
      </c>
      <c r="E18" s="4" t="s">
        <v>39</v>
      </c>
      <c r="F18" s="4" t="s">
        <v>36</v>
      </c>
      <c r="G18" s="16">
        <v>45362</v>
      </c>
      <c r="H18" s="17">
        <v>2</v>
      </c>
      <c r="I18" s="17" t="s">
        <v>56</v>
      </c>
      <c r="J18" s="4">
        <v>201</v>
      </c>
      <c r="K18" s="3" t="s">
        <v>51</v>
      </c>
      <c r="L18" s="4" t="s">
        <v>74</v>
      </c>
      <c r="M18" s="6"/>
      <c r="N18" s="4" t="s">
        <v>14</v>
      </c>
      <c r="O18" s="4"/>
      <c r="P18" s="3" t="s">
        <v>29</v>
      </c>
      <c r="Q18" s="6">
        <v>1</v>
      </c>
      <c r="R18" s="6"/>
      <c r="S18" s="6"/>
      <c r="T18" s="4" t="s">
        <v>30</v>
      </c>
    </row>
    <row r="19" spans="1:20" x14ac:dyDescent="0.25">
      <c r="A19" s="3" t="s">
        <v>41</v>
      </c>
      <c r="B19" s="3" t="s">
        <v>42</v>
      </c>
      <c r="C19" s="4" t="s">
        <v>33</v>
      </c>
      <c r="D19" s="4" t="s">
        <v>34</v>
      </c>
      <c r="E19" s="4" t="s">
        <v>39</v>
      </c>
      <c r="F19" s="4" t="s">
        <v>36</v>
      </c>
      <c r="G19" s="16">
        <v>45362</v>
      </c>
      <c r="H19" s="17">
        <v>2</v>
      </c>
      <c r="I19" s="17" t="s">
        <v>56</v>
      </c>
      <c r="J19" s="4"/>
      <c r="K19" s="3"/>
      <c r="L19" s="4" t="s">
        <v>85</v>
      </c>
      <c r="M19" s="6"/>
      <c r="N19" s="4" t="s">
        <v>10</v>
      </c>
      <c r="O19" s="4"/>
      <c r="P19" s="3" t="s">
        <v>27</v>
      </c>
      <c r="Q19" s="6">
        <v>1</v>
      </c>
      <c r="R19" s="6">
        <v>2.1</v>
      </c>
      <c r="S19" s="6">
        <f t="shared" ref="S19:S24" si="2">Q19*R19</f>
        <v>2.1</v>
      </c>
      <c r="T19" s="4"/>
    </row>
    <row r="20" spans="1:20" x14ac:dyDescent="0.25">
      <c r="A20" s="3" t="s">
        <v>41</v>
      </c>
      <c r="B20" s="3" t="s">
        <v>42</v>
      </c>
      <c r="C20" s="4" t="s">
        <v>33</v>
      </c>
      <c r="D20" s="4" t="s">
        <v>34</v>
      </c>
      <c r="E20" s="4" t="s">
        <v>39</v>
      </c>
      <c r="F20" s="4" t="s">
        <v>36</v>
      </c>
      <c r="G20" s="16">
        <v>45362</v>
      </c>
      <c r="H20" s="17">
        <v>2</v>
      </c>
      <c r="I20" s="17" t="s">
        <v>56</v>
      </c>
      <c r="J20" s="4"/>
      <c r="K20" s="3"/>
      <c r="L20" s="4" t="s">
        <v>90</v>
      </c>
      <c r="M20" s="6"/>
      <c r="N20" s="4" t="s">
        <v>15</v>
      </c>
      <c r="O20" s="4"/>
      <c r="P20" s="3" t="s">
        <v>27</v>
      </c>
      <c r="Q20" s="6">
        <v>1</v>
      </c>
      <c r="R20" s="6">
        <v>4</v>
      </c>
      <c r="S20" s="6">
        <f t="shared" si="2"/>
        <v>4</v>
      </c>
      <c r="T20" s="4"/>
    </row>
    <row r="21" spans="1:20" x14ac:dyDescent="0.25">
      <c r="A21" s="3" t="s">
        <v>41</v>
      </c>
      <c r="B21" s="3" t="s">
        <v>42</v>
      </c>
      <c r="C21" s="4" t="s">
        <v>33</v>
      </c>
      <c r="D21" s="4" t="s">
        <v>34</v>
      </c>
      <c r="E21" s="4" t="s">
        <v>39</v>
      </c>
      <c r="F21" s="4" t="s">
        <v>36</v>
      </c>
      <c r="G21" s="16">
        <v>45362</v>
      </c>
      <c r="H21" s="17">
        <v>2</v>
      </c>
      <c r="I21" s="17" t="s">
        <v>56</v>
      </c>
      <c r="J21" s="4"/>
      <c r="K21" s="3"/>
      <c r="L21" s="4" t="s">
        <v>91</v>
      </c>
      <c r="M21" s="6"/>
      <c r="N21" s="4" t="s">
        <v>16</v>
      </c>
      <c r="O21" s="4"/>
      <c r="P21" s="3" t="s">
        <v>27</v>
      </c>
      <c r="Q21" s="6">
        <v>1</v>
      </c>
      <c r="R21" s="6">
        <v>4.1399999999999997</v>
      </c>
      <c r="S21" s="6">
        <f t="shared" si="2"/>
        <v>4.1399999999999997</v>
      </c>
      <c r="T21" s="4"/>
    </row>
    <row r="22" spans="1:20" x14ac:dyDescent="0.25">
      <c r="A22" s="3" t="s">
        <v>41</v>
      </c>
      <c r="B22" s="3" t="s">
        <v>42</v>
      </c>
      <c r="C22" s="4" t="s">
        <v>33</v>
      </c>
      <c r="D22" s="4" t="s">
        <v>34</v>
      </c>
      <c r="E22" s="4" t="s">
        <v>39</v>
      </c>
      <c r="F22" s="4" t="s">
        <v>36</v>
      </c>
      <c r="G22" s="16">
        <v>45362</v>
      </c>
      <c r="H22" s="17">
        <v>2</v>
      </c>
      <c r="I22" s="17" t="s">
        <v>56</v>
      </c>
      <c r="J22" s="4"/>
      <c r="K22" s="3"/>
      <c r="L22" s="4" t="s">
        <v>92</v>
      </c>
      <c r="M22" s="6"/>
      <c r="N22" s="4" t="s">
        <v>17</v>
      </c>
      <c r="O22" s="4"/>
      <c r="P22" s="3" t="s">
        <v>27</v>
      </c>
      <c r="Q22" s="6">
        <v>1</v>
      </c>
      <c r="R22" s="6">
        <v>0.96</v>
      </c>
      <c r="S22" s="6">
        <f t="shared" si="2"/>
        <v>0.96</v>
      </c>
      <c r="T22" s="4"/>
    </row>
    <row r="23" spans="1:20" x14ac:dyDescent="0.25">
      <c r="A23" s="3" t="s">
        <v>41</v>
      </c>
      <c r="B23" s="3" t="s">
        <v>42</v>
      </c>
      <c r="C23" s="4" t="s">
        <v>33</v>
      </c>
      <c r="D23" s="4" t="s">
        <v>34</v>
      </c>
      <c r="E23" s="4" t="s">
        <v>39</v>
      </c>
      <c r="F23" s="4" t="s">
        <v>36</v>
      </c>
      <c r="G23" s="16">
        <v>45362</v>
      </c>
      <c r="H23" s="17">
        <v>2</v>
      </c>
      <c r="I23" s="17" t="s">
        <v>56</v>
      </c>
      <c r="J23" s="4"/>
      <c r="K23" s="3"/>
      <c r="L23" s="4" t="s">
        <v>89</v>
      </c>
      <c r="M23" s="6"/>
      <c r="N23" s="4" t="s">
        <v>67</v>
      </c>
      <c r="O23" s="4" t="s">
        <v>68</v>
      </c>
      <c r="P23" s="3" t="s">
        <v>27</v>
      </c>
      <c r="Q23" s="6">
        <v>1</v>
      </c>
      <c r="R23" s="6">
        <v>1.42</v>
      </c>
      <c r="S23" s="6">
        <f t="shared" si="2"/>
        <v>1.42</v>
      </c>
      <c r="T23" s="4"/>
    </row>
    <row r="24" spans="1:20" x14ac:dyDescent="0.25">
      <c r="A24" s="3" t="s">
        <v>41</v>
      </c>
      <c r="B24" s="3" t="s">
        <v>42</v>
      </c>
      <c r="C24" s="4" t="s">
        <v>33</v>
      </c>
      <c r="D24" s="4" t="s">
        <v>34</v>
      </c>
      <c r="E24" s="4" t="s">
        <v>39</v>
      </c>
      <c r="F24" s="4" t="s">
        <v>36</v>
      </c>
      <c r="G24" s="16">
        <v>45362</v>
      </c>
      <c r="H24" s="17">
        <v>2</v>
      </c>
      <c r="I24" s="17" t="s">
        <v>56</v>
      </c>
      <c r="J24" s="4"/>
      <c r="K24" s="3"/>
      <c r="L24" s="4" t="s">
        <v>87</v>
      </c>
      <c r="M24" s="6"/>
      <c r="N24" s="4" t="s">
        <v>11</v>
      </c>
      <c r="O24" s="4"/>
      <c r="P24" s="3" t="s">
        <v>27</v>
      </c>
      <c r="Q24" s="6">
        <v>1</v>
      </c>
      <c r="R24" s="6">
        <v>0.22</v>
      </c>
      <c r="S24" s="6">
        <f t="shared" si="2"/>
        <v>0.22</v>
      </c>
      <c r="T24" s="4"/>
    </row>
    <row r="25" spans="1:20" ht="14.25" customHeight="1" x14ac:dyDescent="0.25">
      <c r="A25" s="3" t="s">
        <v>41</v>
      </c>
      <c r="B25" s="3" t="s">
        <v>42</v>
      </c>
      <c r="C25" s="4" t="s">
        <v>33</v>
      </c>
      <c r="D25" s="4" t="s">
        <v>34</v>
      </c>
      <c r="E25" s="4" t="s">
        <v>39</v>
      </c>
      <c r="F25" s="4" t="s">
        <v>36</v>
      </c>
      <c r="G25" s="16">
        <v>45362</v>
      </c>
      <c r="H25" s="17">
        <v>2</v>
      </c>
      <c r="I25" s="17" t="s">
        <v>56</v>
      </c>
      <c r="J25" s="4"/>
      <c r="K25" s="3"/>
      <c r="L25" s="5" t="s">
        <v>93</v>
      </c>
      <c r="M25" s="8"/>
      <c r="N25" s="5" t="s">
        <v>75</v>
      </c>
      <c r="O25" s="4" t="s">
        <v>70</v>
      </c>
      <c r="P25" s="3" t="s">
        <v>29</v>
      </c>
      <c r="Q25" s="6">
        <v>1</v>
      </c>
      <c r="R25" s="6"/>
      <c r="S25" s="6"/>
      <c r="T25" s="4"/>
    </row>
    <row r="26" spans="1:20" x14ac:dyDescent="0.25">
      <c r="A26" s="3" t="s">
        <v>41</v>
      </c>
      <c r="B26" s="3" t="s">
        <v>42</v>
      </c>
      <c r="C26" s="4" t="s">
        <v>33</v>
      </c>
      <c r="D26" s="4" t="s">
        <v>34</v>
      </c>
      <c r="E26" s="4" t="s">
        <v>39</v>
      </c>
      <c r="F26" s="4" t="s">
        <v>36</v>
      </c>
      <c r="G26" s="16">
        <v>45362</v>
      </c>
      <c r="H26" s="17">
        <v>2</v>
      </c>
      <c r="I26" s="17" t="s">
        <v>56</v>
      </c>
      <c r="J26" s="4">
        <v>153</v>
      </c>
      <c r="K26" s="3" t="s">
        <v>52</v>
      </c>
      <c r="L26" s="4" t="s">
        <v>76</v>
      </c>
      <c r="M26" s="6"/>
      <c r="N26" s="4" t="s">
        <v>18</v>
      </c>
      <c r="O26" s="4"/>
      <c r="P26" s="3" t="s">
        <v>29</v>
      </c>
      <c r="Q26" s="6">
        <v>73</v>
      </c>
      <c r="R26" s="6">
        <v>1.6</v>
      </c>
      <c r="S26" s="6">
        <f>Q26*R26</f>
        <v>116.80000000000001</v>
      </c>
      <c r="T26" s="4" t="s">
        <v>30</v>
      </c>
    </row>
    <row r="27" spans="1:20" x14ac:dyDescent="0.25">
      <c r="A27" s="3" t="s">
        <v>41</v>
      </c>
      <c r="B27" s="3" t="s">
        <v>42</v>
      </c>
      <c r="C27" s="4" t="s">
        <v>33</v>
      </c>
      <c r="D27" s="4" t="s">
        <v>34</v>
      </c>
      <c r="E27" s="4" t="s">
        <v>39</v>
      </c>
      <c r="F27" s="4" t="s">
        <v>36</v>
      </c>
      <c r="G27" s="16">
        <v>45362</v>
      </c>
      <c r="H27" s="17">
        <v>2</v>
      </c>
      <c r="I27" s="17" t="s">
        <v>56</v>
      </c>
      <c r="J27" s="4"/>
      <c r="K27" s="3"/>
      <c r="L27" s="4" t="s">
        <v>94</v>
      </c>
      <c r="M27" s="6"/>
      <c r="N27" s="4" t="s">
        <v>19</v>
      </c>
      <c r="O27" s="4"/>
      <c r="P27" s="3" t="s">
        <v>27</v>
      </c>
      <c r="Q27" s="6">
        <v>4</v>
      </c>
      <c r="R27" s="6"/>
      <c r="S27" s="6"/>
      <c r="T27" s="4"/>
    </row>
    <row r="28" spans="1:20" x14ac:dyDescent="0.25">
      <c r="A28" s="3" t="s">
        <v>41</v>
      </c>
      <c r="B28" s="3" t="s">
        <v>42</v>
      </c>
      <c r="C28" s="4" t="s">
        <v>33</v>
      </c>
      <c r="D28" s="4" t="s">
        <v>34</v>
      </c>
      <c r="E28" s="4" t="s">
        <v>39</v>
      </c>
      <c r="F28" s="4" t="s">
        <v>36</v>
      </c>
      <c r="G28" s="16">
        <v>45362</v>
      </c>
      <c r="H28" s="17">
        <v>2</v>
      </c>
      <c r="I28" s="17" t="s">
        <v>56</v>
      </c>
      <c r="J28" s="4"/>
      <c r="K28" s="3"/>
      <c r="L28" s="4" t="s">
        <v>95</v>
      </c>
      <c r="M28" s="6"/>
      <c r="N28" s="4" t="s">
        <v>20</v>
      </c>
      <c r="O28" s="4"/>
      <c r="P28" s="3" t="s">
        <v>27</v>
      </c>
      <c r="Q28" s="6">
        <v>1</v>
      </c>
      <c r="R28" s="6">
        <v>0.06</v>
      </c>
      <c r="S28" s="6">
        <f t="shared" ref="S28:S33" si="3">Q28*R28</f>
        <v>0.06</v>
      </c>
      <c r="T28" s="4"/>
    </row>
    <row r="29" spans="1:20" x14ac:dyDescent="0.25">
      <c r="A29" s="3" t="s">
        <v>41</v>
      </c>
      <c r="B29" s="3" t="s">
        <v>42</v>
      </c>
      <c r="C29" s="4" t="s">
        <v>33</v>
      </c>
      <c r="D29" s="4" t="s">
        <v>34</v>
      </c>
      <c r="E29" s="4" t="s">
        <v>39</v>
      </c>
      <c r="F29" s="4" t="s">
        <v>36</v>
      </c>
      <c r="G29" s="16">
        <v>45362</v>
      </c>
      <c r="H29" s="17">
        <v>2</v>
      </c>
      <c r="I29" s="17" t="s">
        <v>56</v>
      </c>
      <c r="J29" s="4"/>
      <c r="K29" s="3"/>
      <c r="L29" s="4" t="s">
        <v>96</v>
      </c>
      <c r="M29" s="6"/>
      <c r="N29" s="4" t="s">
        <v>21</v>
      </c>
      <c r="O29" s="4"/>
      <c r="P29" s="3" t="s">
        <v>27</v>
      </c>
      <c r="Q29" s="6">
        <v>1</v>
      </c>
      <c r="R29" s="6">
        <v>2.88</v>
      </c>
      <c r="S29" s="6">
        <f t="shared" si="3"/>
        <v>2.88</v>
      </c>
      <c r="T29" s="4"/>
    </row>
    <row r="30" spans="1:20" x14ac:dyDescent="0.25">
      <c r="A30" s="3" t="s">
        <v>41</v>
      </c>
      <c r="B30" s="3" t="s">
        <v>42</v>
      </c>
      <c r="C30" s="4" t="s">
        <v>33</v>
      </c>
      <c r="D30" s="4" t="s">
        <v>34</v>
      </c>
      <c r="E30" s="4" t="s">
        <v>39</v>
      </c>
      <c r="F30" s="4" t="s">
        <v>36</v>
      </c>
      <c r="G30" s="16">
        <v>45362</v>
      </c>
      <c r="H30" s="17">
        <v>2</v>
      </c>
      <c r="I30" s="17" t="s">
        <v>56</v>
      </c>
      <c r="J30" s="4"/>
      <c r="K30" s="3"/>
      <c r="L30" s="4" t="s">
        <v>97</v>
      </c>
      <c r="M30" s="6"/>
      <c r="N30" s="4" t="s">
        <v>77</v>
      </c>
      <c r="O30" s="4" t="s">
        <v>22</v>
      </c>
      <c r="P30" s="3" t="s">
        <v>27</v>
      </c>
      <c r="Q30" s="6">
        <v>8</v>
      </c>
      <c r="R30" s="6">
        <v>6.34</v>
      </c>
      <c r="S30" s="6">
        <f t="shared" si="3"/>
        <v>50.72</v>
      </c>
      <c r="T30" s="4"/>
    </row>
    <row r="31" spans="1:20" x14ac:dyDescent="0.25">
      <c r="A31" s="3" t="s">
        <v>41</v>
      </c>
      <c r="B31" s="3" t="s">
        <v>42</v>
      </c>
      <c r="C31" s="4" t="s">
        <v>33</v>
      </c>
      <c r="D31" s="4" t="s">
        <v>34</v>
      </c>
      <c r="E31" s="4" t="s">
        <v>39</v>
      </c>
      <c r="F31" s="4" t="s">
        <v>36</v>
      </c>
      <c r="G31" s="16">
        <v>45362</v>
      </c>
      <c r="H31" s="17">
        <v>2</v>
      </c>
      <c r="I31" s="17" t="s">
        <v>56</v>
      </c>
      <c r="J31" s="4"/>
      <c r="K31" s="3"/>
      <c r="L31" s="4" t="s">
        <v>94</v>
      </c>
      <c r="M31" s="6"/>
      <c r="N31" s="4" t="s">
        <v>78</v>
      </c>
      <c r="O31" s="4" t="s">
        <v>23</v>
      </c>
      <c r="P31" s="3" t="s">
        <v>27</v>
      </c>
      <c r="Q31" s="6">
        <v>6</v>
      </c>
      <c r="R31" s="9">
        <v>3.7999999999999999E-2</v>
      </c>
      <c r="S31" s="6">
        <f t="shared" si="3"/>
        <v>0.22799999999999998</v>
      </c>
      <c r="T31" s="4"/>
    </row>
    <row r="32" spans="1:20" x14ac:dyDescent="0.25">
      <c r="A32" s="3" t="s">
        <v>41</v>
      </c>
      <c r="B32" s="3" t="s">
        <v>42</v>
      </c>
      <c r="C32" s="4" t="s">
        <v>33</v>
      </c>
      <c r="D32" s="4" t="s">
        <v>34</v>
      </c>
      <c r="E32" s="4" t="s">
        <v>39</v>
      </c>
      <c r="F32" s="4" t="s">
        <v>36</v>
      </c>
      <c r="G32" s="16">
        <v>45362</v>
      </c>
      <c r="H32" s="17">
        <v>2</v>
      </c>
      <c r="I32" s="17" t="s">
        <v>56</v>
      </c>
      <c r="J32" s="4"/>
      <c r="K32" s="3"/>
      <c r="L32" s="4" t="s">
        <v>98</v>
      </c>
      <c r="M32" s="6">
        <v>1000</v>
      </c>
      <c r="N32" s="4" t="s">
        <v>80</v>
      </c>
      <c r="O32" s="19">
        <v>55116</v>
      </c>
      <c r="P32" s="3" t="s">
        <v>27</v>
      </c>
      <c r="Q32" s="6">
        <v>2</v>
      </c>
      <c r="R32" s="9">
        <v>1.0999999999999999E-2</v>
      </c>
      <c r="S32" s="6">
        <f t="shared" si="3"/>
        <v>2.1999999999999999E-2</v>
      </c>
      <c r="T32" s="4"/>
    </row>
    <row r="33" spans="1:20" x14ac:dyDescent="0.25">
      <c r="A33" s="3" t="s">
        <v>41</v>
      </c>
      <c r="B33" s="3" t="s">
        <v>42</v>
      </c>
      <c r="C33" s="4" t="s">
        <v>33</v>
      </c>
      <c r="D33" s="4" t="s">
        <v>34</v>
      </c>
      <c r="E33" s="4" t="s">
        <v>39</v>
      </c>
      <c r="F33" s="4" t="s">
        <v>36</v>
      </c>
      <c r="G33" s="16">
        <v>45362</v>
      </c>
      <c r="H33" s="17">
        <v>2</v>
      </c>
      <c r="I33" s="17" t="s">
        <v>56</v>
      </c>
      <c r="J33" s="4"/>
      <c r="K33" s="3"/>
      <c r="L33" s="4" t="s">
        <v>88</v>
      </c>
      <c r="M33" s="6"/>
      <c r="N33" s="5" t="s">
        <v>69</v>
      </c>
      <c r="O33" s="4" t="s">
        <v>70</v>
      </c>
      <c r="P33" s="3" t="s">
        <v>27</v>
      </c>
      <c r="Q33" s="6">
        <v>1</v>
      </c>
      <c r="R33" s="6">
        <v>2.66</v>
      </c>
      <c r="S33" s="6">
        <f t="shared" si="3"/>
        <v>2.66</v>
      </c>
      <c r="T33" s="4"/>
    </row>
    <row r="34" spans="1:20" x14ac:dyDescent="0.25">
      <c r="A34" s="3" t="s">
        <v>41</v>
      </c>
      <c r="B34" s="3" t="s">
        <v>42</v>
      </c>
      <c r="C34" s="4" t="s">
        <v>33</v>
      </c>
      <c r="D34" s="4" t="s">
        <v>34</v>
      </c>
      <c r="E34" s="4" t="s">
        <v>39</v>
      </c>
      <c r="F34" s="4" t="s">
        <v>36</v>
      </c>
      <c r="G34" s="16">
        <v>45362</v>
      </c>
      <c r="H34" s="17">
        <v>2</v>
      </c>
      <c r="I34" s="17" t="s">
        <v>56</v>
      </c>
      <c r="J34" s="4">
        <v>215</v>
      </c>
      <c r="K34" s="3" t="s">
        <v>53</v>
      </c>
      <c r="L34" s="4" t="s">
        <v>81</v>
      </c>
      <c r="M34" s="8"/>
      <c r="N34" s="4" t="s">
        <v>24</v>
      </c>
      <c r="O34" s="4"/>
      <c r="P34" s="3" t="s">
        <v>29</v>
      </c>
      <c r="Q34" s="6">
        <v>2</v>
      </c>
      <c r="R34" s="6"/>
      <c r="S34" s="6"/>
      <c r="T34" s="4" t="s">
        <v>30</v>
      </c>
    </row>
    <row r="35" spans="1:20" x14ac:dyDescent="0.25">
      <c r="A35" s="3" t="s">
        <v>41</v>
      </c>
      <c r="B35" s="3" t="s">
        <v>42</v>
      </c>
      <c r="C35" s="4" t="s">
        <v>33</v>
      </c>
      <c r="D35" s="4" t="s">
        <v>34</v>
      </c>
      <c r="E35" s="4" t="s">
        <v>39</v>
      </c>
      <c r="F35" s="4" t="s">
        <v>36</v>
      </c>
      <c r="G35" s="16">
        <v>45362</v>
      </c>
      <c r="H35" s="17">
        <v>2</v>
      </c>
      <c r="I35" s="17" t="s">
        <v>56</v>
      </c>
      <c r="J35" s="4"/>
      <c r="K35" s="3"/>
      <c r="L35" s="4" t="s">
        <v>99</v>
      </c>
      <c r="M35" s="6"/>
      <c r="N35" s="4" t="s">
        <v>25</v>
      </c>
      <c r="O35" s="4"/>
      <c r="P35" s="3" t="s">
        <v>28</v>
      </c>
      <c r="Q35" s="6">
        <v>5</v>
      </c>
      <c r="R35" s="6"/>
      <c r="S35" s="6"/>
      <c r="T35" s="4"/>
    </row>
    <row r="36" spans="1:20" x14ac:dyDescent="0.25">
      <c r="A36" s="3" t="s">
        <v>41</v>
      </c>
      <c r="B36" s="3" t="s">
        <v>42</v>
      </c>
      <c r="C36" s="4" t="s">
        <v>33</v>
      </c>
      <c r="D36" s="4" t="s">
        <v>34</v>
      </c>
      <c r="E36" s="4" t="s">
        <v>39</v>
      </c>
      <c r="F36" s="4" t="s">
        <v>36</v>
      </c>
      <c r="G36" s="16">
        <v>45362</v>
      </c>
      <c r="H36" s="17">
        <v>2</v>
      </c>
      <c r="I36" s="17" t="s">
        <v>56</v>
      </c>
      <c r="J36" s="4"/>
      <c r="K36" s="3"/>
      <c r="L36" s="5" t="s">
        <v>101</v>
      </c>
      <c r="M36" s="8">
        <v>30000</v>
      </c>
      <c r="N36" s="4" t="s">
        <v>100</v>
      </c>
      <c r="O36" s="4" t="s">
        <v>82</v>
      </c>
      <c r="P36" s="3" t="s">
        <v>27</v>
      </c>
      <c r="Q36" s="6">
        <v>9</v>
      </c>
      <c r="R36" s="9">
        <v>0.22500000000000001</v>
      </c>
      <c r="S36" s="6">
        <f t="shared" ref="S36:S38" si="4">Q36*R36</f>
        <v>2.0249999999999999</v>
      </c>
      <c r="T36" s="4"/>
    </row>
    <row r="37" spans="1:20" x14ac:dyDescent="0.25">
      <c r="A37" s="3" t="s">
        <v>41</v>
      </c>
      <c r="B37" s="3" t="s">
        <v>42</v>
      </c>
      <c r="C37" s="4" t="s">
        <v>33</v>
      </c>
      <c r="D37" s="4" t="s">
        <v>34</v>
      </c>
      <c r="E37" s="4" t="s">
        <v>39</v>
      </c>
      <c r="F37" s="4" t="s">
        <v>36</v>
      </c>
      <c r="G37" s="16">
        <v>45362</v>
      </c>
      <c r="H37" s="17">
        <v>2</v>
      </c>
      <c r="I37" s="17" t="s">
        <v>56</v>
      </c>
      <c r="J37" s="4"/>
      <c r="K37" s="3"/>
      <c r="L37" s="4" t="s">
        <v>102</v>
      </c>
      <c r="M37" s="6"/>
      <c r="N37" s="4" t="s">
        <v>100</v>
      </c>
      <c r="O37" s="4" t="s">
        <v>83</v>
      </c>
      <c r="P37" s="3" t="s">
        <v>27</v>
      </c>
      <c r="Q37" s="6">
        <v>2</v>
      </c>
      <c r="R37" s="9">
        <v>3.6999999999999998E-2</v>
      </c>
      <c r="S37" s="6">
        <f t="shared" si="4"/>
        <v>7.3999999999999996E-2</v>
      </c>
      <c r="T37" s="4"/>
    </row>
    <row r="38" spans="1:20" x14ac:dyDescent="0.25">
      <c r="A38" s="3" t="s">
        <v>41</v>
      </c>
      <c r="B38" s="3" t="s">
        <v>42</v>
      </c>
      <c r="C38" s="4" t="s">
        <v>33</v>
      </c>
      <c r="D38" s="4" t="s">
        <v>34</v>
      </c>
      <c r="E38" s="4" t="s">
        <v>39</v>
      </c>
      <c r="F38" s="4" t="s">
        <v>36</v>
      </c>
      <c r="G38" s="16">
        <v>45362</v>
      </c>
      <c r="H38" s="17">
        <v>2</v>
      </c>
      <c r="I38" s="17" t="s">
        <v>56</v>
      </c>
      <c r="J38" s="4"/>
      <c r="K38" s="3"/>
      <c r="L38" s="5" t="s">
        <v>103</v>
      </c>
      <c r="M38" s="8"/>
      <c r="N38" s="4" t="s">
        <v>26</v>
      </c>
      <c r="O38" s="4"/>
      <c r="P38" s="3" t="s">
        <v>27</v>
      </c>
      <c r="Q38" s="6">
        <v>1</v>
      </c>
      <c r="R38" s="6">
        <v>7.0000000000000007E-2</v>
      </c>
      <c r="S38" s="6">
        <f t="shared" si="4"/>
        <v>7.0000000000000007E-2</v>
      </c>
      <c r="T38" s="4"/>
    </row>
  </sheetData>
  <autoFilter ref="A2:T38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</dc:creator>
  <cp:lastModifiedBy>denis</cp:lastModifiedBy>
  <dcterms:created xsi:type="dcterms:W3CDTF">2015-06-05T18:19:34Z</dcterms:created>
  <dcterms:modified xsi:type="dcterms:W3CDTF">2025-10-17T07:44:54Z</dcterms:modified>
</cp:coreProperties>
</file>